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docs.live.net/103cd0eaaec9c2c2/Documents/"/>
    </mc:Choice>
  </mc:AlternateContent>
  <xr:revisionPtr revIDLastSave="0" documentId="8_{8E3FD890-FAA8-449B-9310-63B727D310C3}" xr6:coauthVersionLast="47" xr6:coauthVersionMax="47" xr10:uidLastSave="{00000000-0000-0000-0000-000000000000}"/>
  <bookViews>
    <workbookView xWindow="-110" yWindow="-110" windowWidth="19420" windowHeight="1150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H7" i="11"/>
  <c r="E9" i="11" l="1"/>
  <c r="F9" i="11" l="1"/>
  <c r="E10" i="11" s="1"/>
  <c r="F10" i="11" s="1"/>
  <c r="E11" i="11" s="1"/>
  <c r="I5" i="11"/>
  <c r="H14" i="11"/>
  <c r="H8" i="11"/>
  <c r="E12" i="11" l="1"/>
  <c r="F12" i="11" s="1"/>
  <c r="E13" i="11"/>
  <c r="H9" i="11"/>
  <c r="I6" i="11"/>
  <c r="F13" i="11" l="1"/>
  <c r="H13" i="11" s="1"/>
  <c r="E15" i="11"/>
  <c r="E16" i="11" s="1"/>
  <c r="H10" i="11"/>
  <c r="F11" i="11"/>
  <c r="J5" i="11"/>
  <c r="K5" i="11" s="1"/>
  <c r="L5" i="11" s="1"/>
  <c r="M5" i="11" s="1"/>
  <c r="N5" i="11" s="1"/>
  <c r="O5" i="11" s="1"/>
  <c r="P5" i="11" s="1"/>
  <c r="I4" i="11"/>
  <c r="F15" i="11" l="1"/>
  <c r="H11" i="11"/>
  <c r="H12" i="11"/>
  <c r="P4" i="11"/>
  <c r="Q5" i="11"/>
  <c r="R5" i="11" s="1"/>
  <c r="S5" i="11" s="1"/>
  <c r="T5" i="11" s="1"/>
  <c r="U5" i="11" s="1"/>
  <c r="V5" i="11" s="1"/>
  <c r="W5" i="11" s="1"/>
  <c r="J6" i="11"/>
  <c r="F18" i="11" l="1"/>
  <c r="F19" i="11"/>
  <c r="F16" i="11"/>
  <c r="F17" i="11"/>
  <c r="H15" i="11"/>
  <c r="W4" i="11"/>
  <c r="X5" i="11"/>
  <c r="Y5" i="11" s="1"/>
  <c r="Z5" i="11" s="1"/>
  <c r="AA5" i="11" s="1"/>
  <c r="AB5" i="11" s="1"/>
  <c r="AC5" i="11" s="1"/>
  <c r="AD5" i="11" s="1"/>
  <c r="K6" i="11"/>
  <c r="E17" i="11" l="1"/>
  <c r="E18" i="11" s="1"/>
  <c r="H16" i="11"/>
  <c r="AE5" i="11"/>
  <c r="AF5" i="11" s="1"/>
  <c r="AG5" i="11" s="1"/>
  <c r="AH5" i="11" s="1"/>
  <c r="AI5" i="11" s="1"/>
  <c r="AJ5" i="11" s="1"/>
  <c r="AD4" i="11"/>
  <c r="L6" i="11"/>
  <c r="H17" i="11" l="1"/>
  <c r="AK5" i="11"/>
  <c r="AL5" i="11" s="1"/>
  <c r="AM5" i="11" s="1"/>
  <c r="AN5" i="11" s="1"/>
  <c r="AO5" i="11" s="1"/>
  <c r="AP5" i="11" s="1"/>
  <c r="AQ5" i="11" s="1"/>
  <c r="M6" i="11"/>
  <c r="E19" i="11" l="1"/>
  <c r="H19" i="11" s="1"/>
  <c r="H18" i="11"/>
  <c r="AR5" i="1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<sst xmlns="http://schemas.openxmlformats.org/spreadsheetml/2006/main" count="48" uniqueCount="41">
  <si>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</si>
  <si>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</si>
  <si>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</si>
  <si>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</si>
  <si>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</si>
  <si>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</si>
  <si>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</si>
  <si>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</si>
  <si>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</si>
  <si>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</si>
  <si>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</si>
  <si>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</si>
  <si>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</si>
  <si>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</si>
  <si>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</si>
  <si>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</si>
  <si>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</si>
  <si>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</si>
  <si>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</si>
  <si>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</si>
  <si>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Initiation</t>
  </si>
  <si>
    <t>Project start:</t>
  </si>
  <si>
    <t>Display week:</t>
  </si>
  <si>
    <t>ASSIGNED TO</t>
  </si>
  <si>
    <t>Deliverables</t>
  </si>
  <si>
    <t>ACD</t>
  </si>
  <si>
    <t>Engineering Timesheet</t>
  </si>
  <si>
    <t>Scope Of Work</t>
  </si>
  <si>
    <t>Written Report</t>
  </si>
  <si>
    <t>Generate Summary Tables</t>
  </si>
  <si>
    <t>Merge and Neaten</t>
  </si>
  <si>
    <t>Import Data</t>
  </si>
  <si>
    <t>Create Maps</t>
  </si>
  <si>
    <t xml:space="preserve">Format </t>
  </si>
  <si>
    <t>Github</t>
  </si>
  <si>
    <t>Johnathan</t>
  </si>
  <si>
    <t>Vanessa</t>
  </si>
  <si>
    <t>Matthew</t>
  </si>
  <si>
    <t>Luke</t>
  </si>
  <si>
    <t>Project 4</t>
  </si>
  <si>
    <t>Risk Averse,LLC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</si>
</sst>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0"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9">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0" tint="-4.9989318521683403E-2"/>
        <bgColor theme="4"/>
      </patternFill>
    </fill>
    <fill>
      <patternFill patternType="solid">
        <fgColor theme="0" tint="-0.14996795556505021"/>
        <bgColor indexed="64"/>
      </patternFill>
    </fill>
  </fills>
  <borders count="18">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9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8" borderId="16" xfId="0" applyNumberFormat="1" applyFont="1" applyFill="1" applyBorder="1" applyAlignment="1">
      <alignment horizontal="center" vertical="center"/>
    </xf>
    <xf numFmtId="167" fontId="21" fillId="8" borderId="14" xfId="0" applyNumberFormat="1" applyFont="1" applyFill="1" applyBorder="1" applyAlignment="1">
      <alignment horizontal="center" vertical="center"/>
    </xf>
    <xf numFmtId="167" fontId="21" fillId="8" borderId="15" xfId="0" applyNumberFormat="1" applyFont="1" applyFill="1" applyBorder="1" applyAlignment="1">
      <alignment horizontal="center" vertical="center"/>
    </xf>
    <xf numFmtId="0" fontId="22" fillId="2" borderId="13" xfId="0" applyFont="1" applyFill="1" applyBorder="1" applyAlignment="1">
      <alignment horizontal="center" vertical="center" shrinkToFit="1"/>
    </xf>
    <xf numFmtId="0" fontId="22" fillId="2" borderId="10" xfId="0" applyFont="1" applyFill="1" applyBorder="1" applyAlignment="1">
      <alignment horizontal="center" vertical="center" shrinkToFit="1"/>
    </xf>
    <xf numFmtId="0" fontId="22" fillId="2" borderId="11"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5" borderId="0" xfId="0" applyFont="1" applyFill="1" applyAlignment="1">
      <alignment horizontal="left" vertical="center" indent="1"/>
    </xf>
    <xf numFmtId="0" fontId="19" fillId="5" borderId="0" xfId="11" applyFont="1" applyFill="1" applyBorder="1" applyAlignment="1">
      <alignment vertical="center"/>
    </xf>
    <xf numFmtId="9" fontId="1" fillId="5" borderId="0" xfId="2" applyFont="1" applyFill="1" applyBorder="1" applyAlignment="1">
      <alignment horizontal="center" vertical="center"/>
    </xf>
    <xf numFmtId="164" fontId="19" fillId="5" borderId="0" xfId="0" applyNumberFormat="1" applyFont="1" applyFill="1" applyAlignment="1">
      <alignment horizontal="center" vertical="center"/>
    </xf>
    <xf numFmtId="164" fontId="1" fillId="5" borderId="0" xfId="0" applyNumberFormat="1" applyFont="1" applyFill="1" applyAlignment="1">
      <alignment horizontal="center" vertical="center"/>
    </xf>
    <xf numFmtId="0" fontId="4" fillId="0" borderId="8"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4" fillId="0" borderId="0" xfId="6" applyFont="1" applyAlignment="1">
      <alignment horizontal="left" vertical="center" indent="1"/>
    </xf>
    <xf numFmtId="0" fontId="24" fillId="0" borderId="0" xfId="7" applyFont="1" applyAlignment="1">
      <alignment horizontal="left" vertical="center" indent="1"/>
    </xf>
    <xf numFmtId="0" fontId="27"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4" fillId="0" borderId="0" xfId="0" applyFont="1" applyAlignment="1">
      <alignment horizontal="left" vertical="center" indent="1"/>
    </xf>
    <xf numFmtId="0" fontId="28" fillId="0" borderId="0" xfId="0" applyFont="1" applyAlignment="1">
      <alignment horizontal="left" vertical="top" wrapText="1" indent="1"/>
    </xf>
    <xf numFmtId="0" fontId="0" fillId="0" borderId="0" xfId="0" applyAlignment="1">
      <alignment horizontal="left" vertical="top" wrapText="1" indent="1"/>
    </xf>
    <xf numFmtId="0" fontId="29"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7" borderId="12" xfId="0" applyFont="1" applyFill="1" applyBorder="1" applyAlignment="1">
      <alignment horizontal="left" vertical="center" indent="1"/>
    </xf>
    <xf numFmtId="0" fontId="4" fillId="2" borderId="17" xfId="0" applyFont="1" applyFill="1" applyBorder="1" applyAlignment="1">
      <alignment horizontal="left" indent="1"/>
    </xf>
    <xf numFmtId="0" fontId="20" fillId="7" borderId="12" xfId="0" applyFont="1" applyFill="1" applyBorder="1" applyAlignment="1">
      <alignment vertical="center"/>
    </xf>
    <xf numFmtId="0" fontId="4" fillId="2" borderId="17" xfId="0" applyFont="1" applyFill="1" applyBorder="1"/>
    <xf numFmtId="0" fontId="20" fillId="7" borderId="12" xfId="0" applyFont="1" applyFill="1" applyBorder="1" applyAlignment="1">
      <alignment horizontal="center" vertical="center"/>
    </xf>
    <xf numFmtId="0" fontId="25" fillId="0" borderId="0" xfId="0" applyFont="1" applyAlignment="1">
      <alignment horizontal="left"/>
    </xf>
    <xf numFmtId="0" fontId="26" fillId="0" borderId="0" xfId="0" applyFont="1"/>
    <xf numFmtId="165" fontId="25" fillId="0" borderId="0" xfId="9" applyFont="1" applyBorder="1" applyAlignment="1">
      <alignment horizontal="left"/>
    </xf>
    <xf numFmtId="0" fontId="24" fillId="0" borderId="0" xfId="8" applyFont="1" applyAlignment="1">
      <alignment horizontal="left"/>
    </xf>
    <xf numFmtId="0" fontId="4" fillId="0" borderId="0" xfId="0" applyFont="1"/>
    <xf numFmtId="166" fontId="19" fillId="2" borderId="9" xfId="0" applyNumberFormat="1" applyFont="1" applyFill="1" applyBorder="1" applyAlignment="1">
      <alignment horizontal="center" vertical="center" wrapText="1"/>
    </xf>
    <xf numFmtId="166" fontId="19" fillId="2" borderId="15" xfId="0" applyNumberFormat="1" applyFont="1" applyFill="1" applyBorder="1" applyAlignment="1">
      <alignment horizontal="center" vertical="center" wrapText="1"/>
    </xf>
    <xf numFmtId="166" fontId="19" fillId="2" borderId="14" xfId="0" applyNumberFormat="1" applyFont="1" applyFill="1" applyBorder="1" applyAlignment="1">
      <alignment horizontal="center" vertical="center" wrapText="1"/>
    </xf>
    <xf numFmtId="0" fontId="19" fillId="3" borderId="7" xfId="12" applyFont="1" applyFill="1" applyBorder="1" applyAlignment="1">
      <alignment horizontal="left" vertical="center" wrapText="1" indent="2"/>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2"/>
  <sheetViews>
    <sheetView showGridLines="0" tabSelected="1" showRuler="0" zoomScaleNormal="100" zoomScalePageLayoutView="70" workbookViewId="0">
      <selection activeCell="Q2" sqref="Q2:Z2"/>
    </sheetView>
  </sheetViews>
  <sheetFormatPr defaultColWidth="8.6640625" defaultRowHeight="30" customHeight="1" x14ac:dyDescent="0.3"/>
  <cols>
    <col min="1" max="1" width="2.6640625" style="12" customWidth="1"/>
    <col min="2" max="2" width="22.6640625" customWidth="1"/>
    <col min="3" max="3" width="16.6640625" customWidth="1"/>
    <col min="4" max="4" width="10.6640625" customWidth="1"/>
    <col min="5" max="5" width="10.6640625" style="2" customWidth="1"/>
    <col min="6" max="6" width="10.6640625" customWidth="1"/>
    <col min="7" max="7" width="2.6640625" customWidth="1"/>
    <col min="8" max="8" width="6" hidden="1" customWidth="1"/>
    <col min="9" max="65" width="2.6640625" customWidth="1"/>
  </cols>
  <sheetData>
    <row r="1" spans="1:64" ht="90" customHeight="1" x14ac:dyDescent="1.7">
      <c r="A1" s="13"/>
      <c r="B1" s="67" t="s">
        <v>39</v>
      </c>
      <c r="C1" s="17"/>
      <c r="D1" s="18"/>
      <c r="E1" s="19"/>
      <c r="F1" s="20"/>
      <c r="H1" s="1"/>
      <c r="I1" s="84" t="s">
        <v>21</v>
      </c>
      <c r="J1" s="85"/>
      <c r="K1" s="85"/>
      <c r="L1" s="85"/>
      <c r="M1" s="85"/>
      <c r="N1" s="85"/>
      <c r="O1" s="85"/>
      <c r="P1" s="23"/>
      <c r="Q1" s="83">
        <f>DATE(2026,4,3)</f>
        <v>46115</v>
      </c>
      <c r="R1" s="82"/>
      <c r="S1" s="82"/>
      <c r="T1" s="82"/>
      <c r="U1" s="82"/>
      <c r="V1" s="82"/>
      <c r="W1" s="82"/>
      <c r="X1" s="82"/>
      <c r="Y1" s="82"/>
      <c r="Z1" s="82"/>
    </row>
    <row r="2" spans="1:64" ht="30" customHeight="1" x14ac:dyDescent="0.7">
      <c r="B2" s="65" t="s">
        <v>40</v>
      </c>
      <c r="C2" s="66"/>
      <c r="D2" s="21"/>
      <c r="E2" s="22"/>
      <c r="F2" s="21"/>
      <c r="I2" s="84" t="s">
        <v>22</v>
      </c>
      <c r="J2" s="85"/>
      <c r="K2" s="85"/>
      <c r="L2" s="85"/>
      <c r="M2" s="85"/>
      <c r="N2" s="85"/>
      <c r="O2" s="85"/>
      <c r="P2" s="23"/>
      <c r="Q2" s="81">
        <v>1</v>
      </c>
      <c r="R2" s="82"/>
      <c r="S2" s="82"/>
      <c r="T2" s="82"/>
      <c r="U2" s="82"/>
      <c r="V2" s="82"/>
      <c r="W2" s="82"/>
      <c r="X2" s="82"/>
      <c r="Y2" s="82"/>
      <c r="Z2" s="82"/>
    </row>
    <row r="3" spans="1:64" s="25" customFormat="1" ht="30" customHeight="1" x14ac:dyDescent="0.3">
      <c r="A3" s="12"/>
      <c r="B3" s="24" t="s">
        <v>7</v>
      </c>
      <c r="D3" s="26"/>
      <c r="E3" s="27"/>
    </row>
    <row r="4" spans="1:64" s="25" customFormat="1" ht="30" customHeight="1" x14ac:dyDescent="0.3">
      <c r="A4" s="13"/>
      <c r="B4" s="28" t="s">
        <v>12</v>
      </c>
      <c r="E4" s="29"/>
      <c r="I4" s="88">
        <f>I5</f>
        <v>46111</v>
      </c>
      <c r="J4" s="86"/>
      <c r="K4" s="86"/>
      <c r="L4" s="86"/>
      <c r="M4" s="86"/>
      <c r="N4" s="86"/>
      <c r="O4" s="86"/>
      <c r="P4" s="86">
        <f>P5</f>
        <v>46118</v>
      </c>
      <c r="Q4" s="86"/>
      <c r="R4" s="86"/>
      <c r="S4" s="86"/>
      <c r="T4" s="86"/>
      <c r="U4" s="86"/>
      <c r="V4" s="86"/>
      <c r="W4" s="86">
        <f>W5</f>
        <v>46125</v>
      </c>
      <c r="X4" s="86"/>
      <c r="Y4" s="86"/>
      <c r="Z4" s="86"/>
      <c r="AA4" s="86"/>
      <c r="AB4" s="86"/>
      <c r="AC4" s="86"/>
      <c r="AD4" s="86">
        <f>AD5</f>
        <v>46132</v>
      </c>
      <c r="AE4" s="86"/>
      <c r="AF4" s="86"/>
      <c r="AG4" s="86"/>
      <c r="AH4" s="86"/>
      <c r="AI4" s="86"/>
      <c r="AJ4" s="86"/>
      <c r="AK4" s="86">
        <f>AK5</f>
        <v>46139</v>
      </c>
      <c r="AL4" s="86"/>
      <c r="AM4" s="86"/>
      <c r="AN4" s="86"/>
      <c r="AO4" s="86"/>
      <c r="AP4" s="86"/>
      <c r="AQ4" s="86"/>
      <c r="AR4" s="86">
        <f>AR5</f>
        <v>46146</v>
      </c>
      <c r="AS4" s="86"/>
      <c r="AT4" s="86"/>
      <c r="AU4" s="86"/>
      <c r="AV4" s="86"/>
      <c r="AW4" s="86"/>
      <c r="AX4" s="86"/>
      <c r="AY4" s="86">
        <f>AY5</f>
        <v>46153</v>
      </c>
      <c r="AZ4" s="86"/>
      <c r="BA4" s="86"/>
      <c r="BB4" s="86"/>
      <c r="BC4" s="86"/>
      <c r="BD4" s="86"/>
      <c r="BE4" s="86"/>
      <c r="BF4" s="86">
        <f>BF5</f>
        <v>46160</v>
      </c>
      <c r="BG4" s="86"/>
      <c r="BH4" s="86"/>
      <c r="BI4" s="86"/>
      <c r="BJ4" s="86"/>
      <c r="BK4" s="86"/>
      <c r="BL4" s="87"/>
    </row>
    <row r="5" spans="1:64" s="25" customFormat="1" ht="15" customHeight="1" x14ac:dyDescent="0.3">
      <c r="A5" s="75"/>
      <c r="B5" s="76" t="s">
        <v>4</v>
      </c>
      <c r="C5" s="78" t="s">
        <v>23</v>
      </c>
      <c r="D5" s="80" t="s">
        <v>0</v>
      </c>
      <c r="E5" s="80" t="s">
        <v>2</v>
      </c>
      <c r="F5" s="80" t="s">
        <v>3</v>
      </c>
      <c r="I5" s="30">
        <f>Project_Start-WEEKDAY(Project_Start,1)+2+7*(Display_Week-1)</f>
        <v>46111</v>
      </c>
      <c r="J5" s="30">
        <f>I5+1</f>
        <v>46112</v>
      </c>
      <c r="K5" s="30">
        <f t="shared" ref="K5:AX5" si="0">J5+1</f>
        <v>46113</v>
      </c>
      <c r="L5" s="30">
        <f t="shared" si="0"/>
        <v>46114</v>
      </c>
      <c r="M5" s="30">
        <f t="shared" si="0"/>
        <v>46115</v>
      </c>
      <c r="N5" s="30">
        <f t="shared" si="0"/>
        <v>46116</v>
      </c>
      <c r="O5" s="31">
        <f t="shared" si="0"/>
        <v>46117</v>
      </c>
      <c r="P5" s="32">
        <f>O5+1</f>
        <v>46118</v>
      </c>
      <c r="Q5" s="30">
        <f>P5+1</f>
        <v>46119</v>
      </c>
      <c r="R5" s="30">
        <f t="shared" si="0"/>
        <v>46120</v>
      </c>
      <c r="S5" s="30">
        <f t="shared" si="0"/>
        <v>46121</v>
      </c>
      <c r="T5" s="30">
        <f t="shared" si="0"/>
        <v>46122</v>
      </c>
      <c r="U5" s="30">
        <f t="shared" si="0"/>
        <v>46123</v>
      </c>
      <c r="V5" s="31">
        <f t="shared" si="0"/>
        <v>46124</v>
      </c>
      <c r="W5" s="32">
        <f>V5+1</f>
        <v>46125</v>
      </c>
      <c r="X5" s="30">
        <f>W5+1</f>
        <v>46126</v>
      </c>
      <c r="Y5" s="30">
        <f t="shared" si="0"/>
        <v>46127</v>
      </c>
      <c r="Z5" s="30">
        <f t="shared" si="0"/>
        <v>46128</v>
      </c>
      <c r="AA5" s="30">
        <f t="shared" si="0"/>
        <v>46129</v>
      </c>
      <c r="AB5" s="30">
        <f t="shared" si="0"/>
        <v>46130</v>
      </c>
      <c r="AC5" s="31">
        <f t="shared" si="0"/>
        <v>46131</v>
      </c>
      <c r="AD5" s="32">
        <f>AC5+1</f>
        <v>46132</v>
      </c>
      <c r="AE5" s="30">
        <f>AD5+1</f>
        <v>46133</v>
      </c>
      <c r="AF5" s="30">
        <f t="shared" si="0"/>
        <v>46134</v>
      </c>
      <c r="AG5" s="30">
        <f t="shared" si="0"/>
        <v>46135</v>
      </c>
      <c r="AH5" s="30">
        <f t="shared" si="0"/>
        <v>46136</v>
      </c>
      <c r="AI5" s="30">
        <f t="shared" si="0"/>
        <v>46137</v>
      </c>
      <c r="AJ5" s="31">
        <f t="shared" si="0"/>
        <v>46138</v>
      </c>
      <c r="AK5" s="32">
        <f>AJ5+1</f>
        <v>46139</v>
      </c>
      <c r="AL5" s="30">
        <f>AK5+1</f>
        <v>46140</v>
      </c>
      <c r="AM5" s="30">
        <f t="shared" si="0"/>
        <v>46141</v>
      </c>
      <c r="AN5" s="30">
        <f t="shared" si="0"/>
        <v>46142</v>
      </c>
      <c r="AO5" s="30">
        <f t="shared" si="0"/>
        <v>46143</v>
      </c>
      <c r="AP5" s="30">
        <f t="shared" si="0"/>
        <v>46144</v>
      </c>
      <c r="AQ5" s="31">
        <f t="shared" si="0"/>
        <v>46145</v>
      </c>
      <c r="AR5" s="32">
        <f>AQ5+1</f>
        <v>46146</v>
      </c>
      <c r="AS5" s="30">
        <f>AR5+1</f>
        <v>46147</v>
      </c>
      <c r="AT5" s="30">
        <f t="shared" si="0"/>
        <v>46148</v>
      </c>
      <c r="AU5" s="30">
        <f t="shared" si="0"/>
        <v>46149</v>
      </c>
      <c r="AV5" s="30">
        <f t="shared" si="0"/>
        <v>46150</v>
      </c>
      <c r="AW5" s="30">
        <f t="shared" si="0"/>
        <v>46151</v>
      </c>
      <c r="AX5" s="31">
        <f t="shared" si="0"/>
        <v>46152</v>
      </c>
      <c r="AY5" s="32">
        <f>AX5+1</f>
        <v>46153</v>
      </c>
      <c r="AZ5" s="30">
        <f>AY5+1</f>
        <v>46154</v>
      </c>
      <c r="BA5" s="30">
        <f t="shared" ref="BA5:BE5" si="1">AZ5+1</f>
        <v>46155</v>
      </c>
      <c r="BB5" s="30">
        <f t="shared" si="1"/>
        <v>46156</v>
      </c>
      <c r="BC5" s="30">
        <f t="shared" si="1"/>
        <v>46157</v>
      </c>
      <c r="BD5" s="30">
        <f t="shared" si="1"/>
        <v>46158</v>
      </c>
      <c r="BE5" s="31">
        <f t="shared" si="1"/>
        <v>46159</v>
      </c>
      <c r="BF5" s="32">
        <f>BE5+1</f>
        <v>46160</v>
      </c>
      <c r="BG5" s="30">
        <f>BF5+1</f>
        <v>46161</v>
      </c>
      <c r="BH5" s="30">
        <f t="shared" ref="BH5:BL5" si="2">BG5+1</f>
        <v>46162</v>
      </c>
      <c r="BI5" s="30">
        <f t="shared" si="2"/>
        <v>46163</v>
      </c>
      <c r="BJ5" s="30">
        <f t="shared" si="2"/>
        <v>46164</v>
      </c>
      <c r="BK5" s="30">
        <f t="shared" si="2"/>
        <v>46165</v>
      </c>
      <c r="BL5" s="30">
        <f t="shared" si="2"/>
        <v>46166</v>
      </c>
    </row>
    <row r="6" spans="1:64" s="25" customFormat="1" ht="15" customHeight="1" thickBot="1" x14ac:dyDescent="0.35">
      <c r="A6" s="75"/>
      <c r="B6" s="77"/>
      <c r="C6" s="79"/>
      <c r="D6" s="79"/>
      <c r="E6" s="79"/>
      <c r="F6" s="79"/>
      <c r="I6" s="33" t="str">
        <f t="shared" ref="I6:AN6" si="3">LEFT(TEXT(I5,"ddd"),1)</f>
        <v>M</v>
      </c>
      <c r="J6" s="34" t="str">
        <f t="shared" si="3"/>
        <v>T</v>
      </c>
      <c r="K6" s="34" t="str">
        <f t="shared" si="3"/>
        <v>W</v>
      </c>
      <c r="L6" s="34" t="str">
        <f t="shared" si="3"/>
        <v>T</v>
      </c>
      <c r="M6" s="34" t="str">
        <f t="shared" si="3"/>
        <v>F</v>
      </c>
      <c r="N6" s="34" t="str">
        <f t="shared" si="3"/>
        <v>S</v>
      </c>
      <c r="O6" s="34" t="str">
        <f t="shared" si="3"/>
        <v>S</v>
      </c>
      <c r="P6" s="34" t="str">
        <f t="shared" si="3"/>
        <v>M</v>
      </c>
      <c r="Q6" s="34" t="str">
        <f t="shared" si="3"/>
        <v>T</v>
      </c>
      <c r="R6" s="34" t="str">
        <f t="shared" si="3"/>
        <v>W</v>
      </c>
      <c r="S6" s="34" t="str">
        <f t="shared" si="3"/>
        <v>T</v>
      </c>
      <c r="T6" s="34" t="str">
        <f t="shared" si="3"/>
        <v>F</v>
      </c>
      <c r="U6" s="34" t="str">
        <f t="shared" si="3"/>
        <v>S</v>
      </c>
      <c r="V6" s="34" t="str">
        <f t="shared" si="3"/>
        <v>S</v>
      </c>
      <c r="W6" s="34" t="str">
        <f t="shared" si="3"/>
        <v>M</v>
      </c>
      <c r="X6" s="34" t="str">
        <f t="shared" si="3"/>
        <v>T</v>
      </c>
      <c r="Y6" s="34" t="str">
        <f t="shared" si="3"/>
        <v>W</v>
      </c>
      <c r="Z6" s="34" t="str">
        <f t="shared" si="3"/>
        <v>T</v>
      </c>
      <c r="AA6" s="34" t="str">
        <f t="shared" si="3"/>
        <v>F</v>
      </c>
      <c r="AB6" s="34" t="str">
        <f t="shared" si="3"/>
        <v>S</v>
      </c>
      <c r="AC6" s="34" t="str">
        <f t="shared" si="3"/>
        <v>S</v>
      </c>
      <c r="AD6" s="34" t="str">
        <f t="shared" si="3"/>
        <v>M</v>
      </c>
      <c r="AE6" s="34" t="str">
        <f t="shared" si="3"/>
        <v>T</v>
      </c>
      <c r="AF6" s="34" t="str">
        <f t="shared" si="3"/>
        <v>W</v>
      </c>
      <c r="AG6" s="34" t="str">
        <f t="shared" si="3"/>
        <v>T</v>
      </c>
      <c r="AH6" s="34" t="str">
        <f t="shared" si="3"/>
        <v>F</v>
      </c>
      <c r="AI6" s="34" t="str">
        <f t="shared" si="3"/>
        <v>S</v>
      </c>
      <c r="AJ6" s="34" t="str">
        <f t="shared" si="3"/>
        <v>S</v>
      </c>
      <c r="AK6" s="34" t="str">
        <f t="shared" si="3"/>
        <v>M</v>
      </c>
      <c r="AL6" s="34" t="str">
        <f t="shared" si="3"/>
        <v>T</v>
      </c>
      <c r="AM6" s="34" t="str">
        <f t="shared" si="3"/>
        <v>W</v>
      </c>
      <c r="AN6" s="34" t="str">
        <f t="shared" si="3"/>
        <v>T</v>
      </c>
      <c r="AO6" s="34" t="str">
        <f t="shared" ref="AO6:BL6" si="4">LEFT(TEXT(AO5,"ddd"),1)</f>
        <v>F</v>
      </c>
      <c r="AP6" s="34" t="str">
        <f t="shared" si="4"/>
        <v>S</v>
      </c>
      <c r="AQ6" s="34" t="str">
        <f t="shared" si="4"/>
        <v>S</v>
      </c>
      <c r="AR6" s="34" t="str">
        <f t="shared" si="4"/>
        <v>M</v>
      </c>
      <c r="AS6" s="34" t="str">
        <f t="shared" si="4"/>
        <v>T</v>
      </c>
      <c r="AT6" s="34" t="str">
        <f t="shared" si="4"/>
        <v>W</v>
      </c>
      <c r="AU6" s="34" t="str">
        <f t="shared" si="4"/>
        <v>T</v>
      </c>
      <c r="AV6" s="34" t="str">
        <f t="shared" si="4"/>
        <v>F</v>
      </c>
      <c r="AW6" s="34" t="str">
        <f t="shared" si="4"/>
        <v>S</v>
      </c>
      <c r="AX6" s="34" t="str">
        <f t="shared" si="4"/>
        <v>S</v>
      </c>
      <c r="AY6" s="34" t="str">
        <f t="shared" si="4"/>
        <v>M</v>
      </c>
      <c r="AZ6" s="34" t="str">
        <f t="shared" si="4"/>
        <v>T</v>
      </c>
      <c r="BA6" s="34" t="str">
        <f t="shared" si="4"/>
        <v>W</v>
      </c>
      <c r="BB6" s="34" t="str">
        <f t="shared" si="4"/>
        <v>T</v>
      </c>
      <c r="BC6" s="34" t="str">
        <f t="shared" si="4"/>
        <v>F</v>
      </c>
      <c r="BD6" s="34" t="str">
        <f t="shared" si="4"/>
        <v>S</v>
      </c>
      <c r="BE6" s="34" t="str">
        <f t="shared" si="4"/>
        <v>S</v>
      </c>
      <c r="BF6" s="34" t="str">
        <f t="shared" si="4"/>
        <v>M</v>
      </c>
      <c r="BG6" s="34" t="str">
        <f t="shared" si="4"/>
        <v>T</v>
      </c>
      <c r="BH6" s="34" t="str">
        <f t="shared" si="4"/>
        <v>W</v>
      </c>
      <c r="BI6" s="34" t="str">
        <f t="shared" si="4"/>
        <v>T</v>
      </c>
      <c r="BJ6" s="34" t="str">
        <f t="shared" si="4"/>
        <v>F</v>
      </c>
      <c r="BK6" s="34" t="str">
        <f t="shared" si="4"/>
        <v>S</v>
      </c>
      <c r="BL6" s="35" t="str">
        <f t="shared" si="4"/>
        <v>S</v>
      </c>
    </row>
    <row r="7" spans="1:64" s="25" customFormat="1" ht="30" hidden="1" customHeight="1" thickBot="1" x14ac:dyDescent="0.35">
      <c r="A7" s="12" t="s">
        <v>19</v>
      </c>
      <c r="B7" s="36"/>
      <c r="C7" s="37"/>
      <c r="D7" s="36"/>
      <c r="E7" s="36"/>
      <c r="F7" s="36"/>
      <c r="H7" s="25" t="str">
        <f>IF(OR(ISBLANK(task_start),ISBLANK(task_end)),"",task_end-task_start+1)</f>
        <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row>
    <row r="8" spans="1:64" s="45" customFormat="1" ht="30" customHeight="1" thickBot="1" x14ac:dyDescent="0.35">
      <c r="A8" s="13"/>
      <c r="B8" s="39" t="s">
        <v>20</v>
      </c>
      <c r="C8" s="40"/>
      <c r="D8" s="41"/>
      <c r="E8" s="42"/>
      <c r="F8" s="43"/>
      <c r="G8" s="16"/>
      <c r="H8" s="5" t="str">
        <f t="shared" ref="H8:H19" si="5">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64" s="45" customFormat="1" ht="30" customHeight="1" thickBot="1" x14ac:dyDescent="0.35">
      <c r="A9" s="13"/>
      <c r="B9" s="46" t="s">
        <v>31</v>
      </c>
      <c r="C9" s="47" t="s">
        <v>35</v>
      </c>
      <c r="D9" s="48">
        <v>1</v>
      </c>
      <c r="E9" s="49">
        <f>Project_Start</f>
        <v>46115</v>
      </c>
      <c r="F9" s="49">
        <f>E9+3</f>
        <v>46118</v>
      </c>
      <c r="G9" s="16"/>
      <c r="H9" s="5">
        <f t="shared" si="5"/>
        <v>4</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row>
    <row r="10" spans="1:64" s="45" customFormat="1" ht="30" customHeight="1" thickBot="1" x14ac:dyDescent="0.35">
      <c r="A10" s="13"/>
      <c r="B10" s="51" t="s">
        <v>30</v>
      </c>
      <c r="C10" s="52" t="s">
        <v>35</v>
      </c>
      <c r="D10" s="53">
        <v>1</v>
      </c>
      <c r="E10" s="54">
        <f>F9+4</f>
        <v>46122</v>
      </c>
      <c r="F10" s="54">
        <f>E10+6</f>
        <v>46128</v>
      </c>
      <c r="G10" s="16"/>
      <c r="H10" s="5">
        <f t="shared" si="5"/>
        <v>7</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row>
    <row r="11" spans="1:64" s="45" customFormat="1" ht="30" customHeight="1" thickBot="1" x14ac:dyDescent="0.35">
      <c r="A11" s="12"/>
      <c r="B11" s="89" t="s">
        <v>29</v>
      </c>
      <c r="C11" s="52" t="s">
        <v>36</v>
      </c>
      <c r="D11" s="53">
        <v>1</v>
      </c>
      <c r="E11" s="54">
        <f>F10+1</f>
        <v>46129</v>
      </c>
      <c r="F11" s="54">
        <f>E11+4</f>
        <v>46133</v>
      </c>
      <c r="G11" s="16"/>
      <c r="H11" s="5">
        <f t="shared" si="5"/>
        <v>5</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row>
    <row r="12" spans="1:64" s="45" customFormat="1" ht="30" customHeight="1" thickBot="1" x14ac:dyDescent="0.35">
      <c r="A12" s="12"/>
      <c r="B12" s="51" t="s">
        <v>32</v>
      </c>
      <c r="C12" s="52" t="s">
        <v>36</v>
      </c>
      <c r="D12" s="53">
        <v>1</v>
      </c>
      <c r="E12" s="54">
        <f>E11</f>
        <v>46129</v>
      </c>
      <c r="F12" s="54">
        <f>E12+4</f>
        <v>46133</v>
      </c>
      <c r="G12" s="16"/>
      <c r="H12" s="5">
        <f t="shared" si="5"/>
        <v>5</v>
      </c>
      <c r="I12" s="50"/>
      <c r="J12" s="50"/>
      <c r="K12" s="50"/>
      <c r="L12" s="50"/>
      <c r="M12" s="50"/>
      <c r="N12" s="50"/>
      <c r="O12" s="50"/>
      <c r="P12" s="50"/>
      <c r="Q12" s="50"/>
      <c r="R12" s="50"/>
      <c r="S12" s="50"/>
      <c r="T12" s="50"/>
      <c r="U12" s="50"/>
      <c r="V12" s="50"/>
      <c r="W12" s="50"/>
      <c r="X12" s="50"/>
      <c r="Y12" s="55"/>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row>
    <row r="13" spans="1:64" s="45" customFormat="1" ht="30" customHeight="1" thickBot="1" x14ac:dyDescent="0.35">
      <c r="A13" s="12"/>
      <c r="B13" s="51" t="s">
        <v>33</v>
      </c>
      <c r="C13" s="52" t="s">
        <v>36</v>
      </c>
      <c r="D13" s="53">
        <v>1</v>
      </c>
      <c r="E13" s="54">
        <f>E11+1</f>
        <v>46130</v>
      </c>
      <c r="F13" s="54">
        <f>E13+3</f>
        <v>46133</v>
      </c>
      <c r="G13" s="16"/>
      <c r="H13" s="5">
        <f t="shared" si="5"/>
        <v>4</v>
      </c>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row>
    <row r="14" spans="1:64" s="45" customFormat="1" ht="30" customHeight="1" thickBot="1" x14ac:dyDescent="0.35">
      <c r="A14" s="13"/>
      <c r="B14" s="56" t="s">
        <v>24</v>
      </c>
      <c r="C14" s="57"/>
      <c r="D14" s="58"/>
      <c r="E14" s="59"/>
      <c r="F14" s="60"/>
      <c r="G14" s="16"/>
      <c r="H14" s="5" t="str">
        <f t="shared" si="5"/>
        <v/>
      </c>
    </row>
    <row r="15" spans="1:64" s="45" customFormat="1" ht="30" customHeight="1" thickBot="1" x14ac:dyDescent="0.35">
      <c r="A15" s="13"/>
      <c r="B15" s="61" t="s">
        <v>25</v>
      </c>
      <c r="C15" s="62" t="s">
        <v>37</v>
      </c>
      <c r="D15" s="63">
        <v>1</v>
      </c>
      <c r="E15" s="64">
        <f>E13-1</f>
        <v>46129</v>
      </c>
      <c r="F15" s="64">
        <f>E15+4</f>
        <v>46133</v>
      </c>
      <c r="G15" s="16"/>
      <c r="H15" s="5">
        <f t="shared" si="5"/>
        <v>5</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row>
    <row r="16" spans="1:64" s="45" customFormat="1" ht="30" customHeight="1" thickBot="1" x14ac:dyDescent="0.35">
      <c r="A16" s="12"/>
      <c r="B16" s="61" t="s">
        <v>26</v>
      </c>
      <c r="C16" s="62" t="s">
        <v>36</v>
      </c>
      <c r="D16" s="63">
        <v>1</v>
      </c>
      <c r="E16" s="64">
        <f>E15-10</f>
        <v>46119</v>
      </c>
      <c r="F16" s="64">
        <f>$F$15</f>
        <v>46133</v>
      </c>
      <c r="G16" s="16"/>
      <c r="H16" s="5">
        <f t="shared" si="5"/>
        <v>15</v>
      </c>
      <c r="I16" s="50"/>
      <c r="J16" s="50"/>
      <c r="K16" s="50"/>
      <c r="L16" s="50"/>
      <c r="M16" s="50"/>
      <c r="N16" s="50"/>
      <c r="O16" s="50"/>
      <c r="P16" s="50"/>
      <c r="Q16" s="50"/>
      <c r="R16" s="50"/>
      <c r="S16" s="50"/>
      <c r="T16" s="50"/>
      <c r="U16" s="55"/>
      <c r="V16" s="55"/>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row>
    <row r="17" spans="1:64" s="45" customFormat="1" ht="30" customHeight="1" thickBot="1" x14ac:dyDescent="0.35">
      <c r="A17" s="12"/>
      <c r="B17" s="61" t="s">
        <v>27</v>
      </c>
      <c r="C17" s="62" t="s">
        <v>37</v>
      </c>
      <c r="D17" s="63">
        <v>1</v>
      </c>
      <c r="E17" s="64">
        <f>F16-14</f>
        <v>46119</v>
      </c>
      <c r="F17" s="64">
        <f>$F$15</f>
        <v>46133</v>
      </c>
      <c r="G17" s="16"/>
      <c r="H17" s="5">
        <f t="shared" si="5"/>
        <v>15</v>
      </c>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row>
    <row r="18" spans="1:64" s="45" customFormat="1" ht="30" customHeight="1" thickBot="1" x14ac:dyDescent="0.35">
      <c r="A18" s="12"/>
      <c r="B18" s="61" t="s">
        <v>28</v>
      </c>
      <c r="C18" s="62" t="s">
        <v>38</v>
      </c>
      <c r="D18" s="63">
        <v>1</v>
      </c>
      <c r="E18" s="64">
        <f>E17+11</f>
        <v>46130</v>
      </c>
      <c r="F18" s="64">
        <f>$F$15</f>
        <v>46133</v>
      </c>
      <c r="G18" s="16"/>
      <c r="H18" s="5">
        <f t="shared" si="5"/>
        <v>4</v>
      </c>
      <c r="I18" s="50"/>
      <c r="J18" s="50"/>
      <c r="K18" s="50"/>
      <c r="L18" s="50"/>
      <c r="M18" s="50"/>
      <c r="N18" s="50"/>
      <c r="O18" s="50"/>
      <c r="P18" s="50"/>
      <c r="Q18" s="50"/>
      <c r="R18" s="50"/>
      <c r="S18" s="50"/>
      <c r="T18" s="50"/>
      <c r="U18" s="50"/>
      <c r="V18" s="50"/>
      <c r="W18" s="50"/>
      <c r="X18" s="50"/>
      <c r="Y18" s="55"/>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row>
    <row r="19" spans="1:64" s="45" customFormat="1" ht="30" customHeight="1" thickBot="1" x14ac:dyDescent="0.35">
      <c r="A19" s="12"/>
      <c r="B19" s="61" t="s">
        <v>34</v>
      </c>
      <c r="C19" s="62" t="s">
        <v>35</v>
      </c>
      <c r="D19" s="63">
        <v>1</v>
      </c>
      <c r="E19" s="64">
        <f>E18</f>
        <v>46130</v>
      </c>
      <c r="F19" s="64">
        <f>$F$15</f>
        <v>46133</v>
      </c>
      <c r="G19" s="16"/>
      <c r="H19" s="5">
        <f t="shared" si="5"/>
        <v>4</v>
      </c>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row>
    <row r="20" spans="1:64" ht="30" customHeight="1" x14ac:dyDescent="0.3">
      <c r="G20" s="3"/>
    </row>
    <row r="21" spans="1:64" ht="30" customHeight="1" x14ac:dyDescent="0.3">
      <c r="C21" s="15"/>
      <c r="F21" s="14"/>
    </row>
    <row r="22" spans="1:64" ht="30" customHeight="1" x14ac:dyDescent="0.3">
      <c r="C22"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19">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19">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dataValidations count="10">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s>
  <hyperlinks>
    <hyperlink ref="B4" r:id="rId1" xr:uid="{00000000-0004-0000-0000-000000000000}"/>
    <hyperlink ref="B3" r:id="rId2" xr:uid="{00000000-0004-0000-0000-000001000000}"/>
  </hyperlinks>
  <printOptions horizontalCentered="1"/>
  <pageMargins left="0.35" right="0.35" top="0.35" bottom="0.5" header="0.3" footer="0.3"/>
  <pageSetup scale="53"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5" x14ac:dyDescent="0.25"/>
  <cols>
    <col min="1" max="1" width="87" style="6" customWidth="1"/>
    <col min="2" max="16384" width="9" style="1"/>
  </cols>
  <sheetData>
    <row r="1" spans="1:2" ht="46.5" customHeight="1" x14ac:dyDescent="0.25"/>
    <row r="2" spans="1:2" s="8" customFormat="1" ht="15.5" x14ac:dyDescent="0.3">
      <c r="A2" s="68" t="s">
        <v>7</v>
      </c>
      <c r="B2" s="7"/>
    </row>
    <row r="3" spans="1:2" s="10" customFormat="1" ht="27" customHeight="1" x14ac:dyDescent="0.3">
      <c r="A3" s="69"/>
      <c r="B3" s="11"/>
    </row>
    <row r="4" spans="1:2" s="9" customFormat="1" ht="30.5" x14ac:dyDescent="0.85">
      <c r="A4" s="70" t="s">
        <v>6</v>
      </c>
    </row>
    <row r="5" spans="1:2" ht="74.25" customHeight="1" x14ac:dyDescent="0.25">
      <c r="A5" s="71" t="s">
        <v>15</v>
      </c>
    </row>
    <row r="6" spans="1:2" ht="26.25" customHeight="1" x14ac:dyDescent="0.25">
      <c r="A6" s="70" t="s">
        <v>18</v>
      </c>
    </row>
    <row r="7" spans="1:2" s="6" customFormat="1" ht="205" customHeight="1" x14ac:dyDescent="0.3">
      <c r="A7" s="72" t="s">
        <v>17</v>
      </c>
    </row>
    <row r="8" spans="1:2" s="9" customFormat="1" ht="30.5" x14ac:dyDescent="0.85">
      <c r="A8" s="70" t="s">
        <v>8</v>
      </c>
    </row>
    <row r="9" spans="1:2" ht="42" x14ac:dyDescent="0.25">
      <c r="A9" s="71" t="s">
        <v>16</v>
      </c>
    </row>
    <row r="10" spans="1:2" s="6" customFormat="1" ht="28" customHeight="1" x14ac:dyDescent="0.3">
      <c r="A10" s="73" t="s">
        <v>14</v>
      </c>
    </row>
    <row r="11" spans="1:2" s="9" customFormat="1" ht="30.5" x14ac:dyDescent="0.85">
      <c r="A11" s="70" t="s">
        <v>5</v>
      </c>
    </row>
    <row r="12" spans="1:2" ht="28" x14ac:dyDescent="0.25">
      <c r="A12" s="71" t="s">
        <v>13</v>
      </c>
    </row>
    <row r="13" spans="1:2" s="6" customFormat="1" ht="28" customHeight="1" x14ac:dyDescent="0.3">
      <c r="A13" s="73" t="s">
        <v>1</v>
      </c>
    </row>
    <row r="14" spans="1:2" s="9" customFormat="1" ht="30.5" x14ac:dyDescent="0.85">
      <c r="A14" s="70" t="s">
        <v>9</v>
      </c>
    </row>
    <row r="15" spans="1:2" ht="75" customHeight="1" x14ac:dyDescent="0.25">
      <c r="A15" s="71" t="s">
        <v>10</v>
      </c>
    </row>
    <row r="16" spans="1:2" ht="70" x14ac:dyDescent="0.25">
      <c r="A16" s="71" t="s">
        <v>11</v>
      </c>
    </row>
    <row r="17" spans="1:1" x14ac:dyDescent="0.25">
      <c r="A17" s="74"/>
    </row>
    <row r="18" spans="1:1" x14ac:dyDescent="0.25">
      <c r="A18" s="74"/>
    </row>
    <row r="19" spans="1:1" x14ac:dyDescent="0.25">
      <c r="A19" s="74"/>
    </row>
    <row r="20" spans="1:1" x14ac:dyDescent="0.25">
      <c r="A20" s="74"/>
    </row>
    <row r="21" spans="1:1" x14ac:dyDescent="0.25">
      <c r="A21" s="74"/>
    </row>
    <row r="22" spans="1:1" x14ac:dyDescent="0.25">
      <c r="A22" s="74"/>
    </row>
    <row r="23" spans="1:1" x14ac:dyDescent="0.25">
      <c r="A23" s="74"/>
    </row>
    <row r="24" spans="1:1" x14ac:dyDescent="0.25">
      <c r="A24" s="7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schemas.microsoft.com/office/2006/metadata/properties"/>
    <ds:schemaRef ds:uri="71af3243-3dd4-4a8d-8c0d-dd76da1f02a5"/>
    <ds:schemaRef ds:uri="http://schemas.microsoft.com/office/2006/documentManagement/types"/>
    <ds:schemaRef ds:uri="http://purl.org/dc/dcmitype/"/>
    <ds:schemaRef ds:uri="http://www.w3.org/XML/1998/namespace"/>
    <ds:schemaRef ds:uri="http://schemas.microsoft.com/sharepoint/v3"/>
    <ds:schemaRef ds:uri="http://schemas.openxmlformats.org/package/2006/metadata/core-properties"/>
    <ds:schemaRef ds:uri="http://purl.org/dc/elements/1.1/"/>
    <ds:schemaRef ds:uri="16c05727-aa75-4e4a-9b5f-8a80a1165891"/>
    <ds:schemaRef ds:uri="http://schemas.microsoft.com/office/infopath/2007/PartnerControls"/>
    <ds:schemaRef ds:uri="230e9df3-be65-4c73-a93b-d1236ebd677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Johnathan Sevick</dc:creator>
  <dc:description/>
  <cp:lastModifiedBy>Johnathan Sevick</cp:lastModifiedBy>
  <cp:lastPrinted>2026-04-21T17:26:19Z</cp:lastPrinted>
  <dcterms:created xsi:type="dcterms:W3CDTF">2022-03-11T22:41:12Z</dcterms:created>
  <dcterms:modified xsi:type="dcterms:W3CDTF">2026-04-21T17:27:42Z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